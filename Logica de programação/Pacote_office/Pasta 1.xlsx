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d\Documents\Pedro Jeronimo\Logica de programação\"/>
    </mc:Choice>
  </mc:AlternateContent>
  <xr:revisionPtr revIDLastSave="0" documentId="8_{C11B3E86-32AD-4688-BA5B-89B57F991C36}" xr6:coauthVersionLast="36" xr6:coauthVersionMax="36" xr10:uidLastSave="{00000000-0000-0000-0000-000000000000}"/>
  <bookViews>
    <workbookView xWindow="0" yWindow="0" windowWidth="28800" windowHeight="12105" xr2:uid="{44B66209-BED8-494F-A78E-12F9A82235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11" i="1" s="1"/>
  <c r="F13" i="1" s="1"/>
  <c r="F14" i="1" s="1"/>
</calcChain>
</file>

<file path=xl/sharedStrings.xml><?xml version="1.0" encoding="utf-8"?>
<sst xmlns="http://schemas.openxmlformats.org/spreadsheetml/2006/main" count="22" uniqueCount="15">
  <si>
    <t>Descrição</t>
  </si>
  <si>
    <t>Valor gasto</t>
  </si>
  <si>
    <t>Vencimento</t>
  </si>
  <si>
    <t>Aluguel</t>
  </si>
  <si>
    <t>Agua</t>
  </si>
  <si>
    <t>Transporte</t>
  </si>
  <si>
    <t>Alimentação</t>
  </si>
  <si>
    <t>Caixa</t>
  </si>
  <si>
    <t>Total Gasto</t>
  </si>
  <si>
    <t>Coluna1</t>
  </si>
  <si>
    <t>Coluna2</t>
  </si>
  <si>
    <t>Controle de gasto</t>
  </si>
  <si>
    <t>Luz</t>
  </si>
  <si>
    <t>Saldo</t>
  </si>
  <si>
    <t>Gasto p/dia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</si>
</sst>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/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164" fontId="0" fillId="0" borderId="0" xfId="1" applyNumberFormat="1" applyFont="1"/>
    <xf numFmtId="164" fontId="0" fillId="3" borderId="1" xfId="0" applyNumberFormat="1" applyFill="1" applyBorder="1"/>
    <xf numFmtId="16" fontId="0" fillId="3" borderId="1" xfId="0" applyNumberFormat="1" applyFill="1" applyBorder="1"/>
    <xf numFmtId="164" fontId="0" fillId="3" borderId="2" xfId="0" applyNumberFormat="1" applyFill="1" applyBorder="1"/>
    <xf numFmtId="16" fontId="0" fillId="3" borderId="2" xfId="0" applyNumberFormat="1" applyFill="1" applyBorder="1"/>
    <xf numFmtId="0" fontId="0" fillId="3" borderId="3" xfId="0" applyFill="1" applyBorder="1"/>
    <xf numFmtId="0" fontId="3" fillId="2" borderId="0" xfId="0" applyFont="1" applyFill="1" applyAlignment="1">
      <alignment horizontal="center"/>
    </xf>
    <xf numFmtId="16" fontId="0" fillId="4" borderId="0" xfId="0" applyNumberFormat="1" applyFill="1"/>
    <xf numFmtId="16" fontId="0" fillId="3" borderId="0" xfId="0" applyNumberFormat="1" applyFill="1"/>
    <xf numFmtId="164" fontId="0" fillId="3" borderId="0" xfId="0" applyNumberFormat="1" applyFill="1"/>
    <xf numFmtId="16" fontId="0" fillId="3" borderId="3" xfId="0" applyNumberFormat="1" applyFill="1" applyBorder="1"/>
    <xf numFmtId="164" fontId="0" fillId="0" borderId="0" xfId="0" applyNumberFormat="1"/>
    <xf numFmtId="0" fontId="2" fillId="5" borderId="0" xfId="0" applyFont="1" applyFill="1"/>
  </cellXfs>
  <cellStyles count="2">
    <cellStyle name="Moeda" xfId="1" builtinId="4"/>
    <cellStyle name="Normal" xfId="0" builtinId="0"/>
  </cellStyles>
  <dxfs count="9"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R$-416]\ * #,##0.00_-;\-[$R$-416]\ * #,##0.00_-;_-[$R$-416]\ * &quot;-&quot;??_-;_-@_-"/>
      <fill>
        <patternFill patternType="solid">
          <fgColor indexed="64"/>
          <bgColor theme="2"/>
        </patternFill>
      </fill>
    </dxf>
    <dxf>
      <numFmt numFmtId="21" formatCode="dd/mmm"/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34D1D-C769-437F-899C-BE618553E09E}" name="Tabela1" displayName="Tabela1" ref="A1:C7" totalsRowShown="0" headerRowDxfId="2" dataDxfId="3" tableBorderDxfId="8">
  <autoFilter ref="A1:C7" xr:uid="{A1801ED7-15F4-477C-BE06-A60B154F9404}"/>
  <tableColumns count="3">
    <tableColumn id="1" xr3:uid="{DA921348-5D40-4377-A92D-8229ED0F1E9D}" name="Controle de gasto" dataDxfId="4"/>
    <tableColumn id="4" xr3:uid="{6350AD95-B45C-44EC-806A-1AB27FEBAB23}" name="Coluna1" dataDxfId="1"/>
    <tableColumn id="5" xr3:uid="{529F8459-20A6-464A-A897-B6A15A39F6AE}" name="Coluna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3B90D1-AF2E-4FD2-BDB4-1FB4931DE5DB}" name="Tabela2" displayName="Tabela2" ref="E2:G7" totalsRowShown="0">
  <autoFilter ref="E2:G7" xr:uid="{ACB20048-8C21-4859-8047-0F6933AAC51E}"/>
  <tableColumns count="3">
    <tableColumn id="1" xr3:uid="{BE38F907-7E80-4691-B781-D6C9BCD94086}" name="Descrição" dataDxfId="7"/>
    <tableColumn id="2" xr3:uid="{0EBBC5E5-D274-48C6-890B-6159DE47F4DF}" name="Valor gasto" dataDxfId="5"/>
    <tableColumn id="3" xr3:uid="{90620736-2970-46B5-B410-F10E1C4FC9D2}" name="Vencimento" dataDxfId="6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F553-436E-4837-9E8D-3DE2FC26F4A4}">
  <dimension ref="A1:G14"/>
  <sheetViews>
    <sheetView tabSelected="1" zoomScale="115" zoomScaleNormal="115" workbookViewId="0">
      <selection activeCell="F14" sqref="F14"/>
    </sheetView>
  </sheetViews>
  <sheetFormatPr defaultRowHeight="15" x14ac:dyDescent="0.25"/>
  <cols>
    <col min="1" max="1" width="19.42578125" customWidth="1"/>
    <col min="2" max="2" width="11" bestFit="1" customWidth="1"/>
    <col min="3" max="3" width="11.85546875" bestFit="1" customWidth="1"/>
    <col min="4" max="4" width="11.42578125" bestFit="1" customWidth="1"/>
    <col min="5" max="5" width="11.85546875" bestFit="1" customWidth="1"/>
    <col min="6" max="6" width="18.28515625" bestFit="1" customWidth="1"/>
    <col min="7" max="7" width="13.42578125" customWidth="1"/>
  </cols>
  <sheetData>
    <row r="1" spans="1:7" x14ac:dyDescent="0.25">
      <c r="A1" s="11" t="s">
        <v>11</v>
      </c>
      <c r="B1" s="11" t="s">
        <v>9</v>
      </c>
      <c r="C1" s="11" t="s">
        <v>10</v>
      </c>
      <c r="D1" s="1"/>
      <c r="E1" s="2" t="s">
        <v>11</v>
      </c>
      <c r="F1" s="2"/>
      <c r="G1" s="2"/>
    </row>
    <row r="2" spans="1:7" x14ac:dyDescent="0.25">
      <c r="A2" s="4" t="s">
        <v>0</v>
      </c>
      <c r="B2" s="10" t="s">
        <v>1</v>
      </c>
      <c r="C2" s="15" t="s">
        <v>2</v>
      </c>
      <c r="E2" s="4" t="s">
        <v>0</v>
      </c>
      <c r="F2" s="4" t="s">
        <v>1</v>
      </c>
      <c r="G2" s="12" t="s">
        <v>2</v>
      </c>
    </row>
    <row r="3" spans="1:7" x14ac:dyDescent="0.25">
      <c r="A3" s="3" t="s">
        <v>3</v>
      </c>
      <c r="B3" s="6">
        <v>900</v>
      </c>
      <c r="C3" s="7">
        <v>46063</v>
      </c>
      <c r="E3" s="3" t="s">
        <v>3</v>
      </c>
      <c r="F3" s="14">
        <v>500</v>
      </c>
      <c r="G3" s="13">
        <v>46063</v>
      </c>
    </row>
    <row r="4" spans="1:7" x14ac:dyDescent="0.25">
      <c r="A4" s="3" t="s">
        <v>4</v>
      </c>
      <c r="B4" s="6">
        <v>120</v>
      </c>
      <c r="C4" s="7">
        <v>46068</v>
      </c>
      <c r="E4" s="3" t="s">
        <v>4</v>
      </c>
      <c r="F4" s="14">
        <v>120</v>
      </c>
      <c r="G4" s="13">
        <v>46068</v>
      </c>
    </row>
    <row r="5" spans="1:7" x14ac:dyDescent="0.25">
      <c r="A5" s="3" t="s">
        <v>12</v>
      </c>
      <c r="B5" s="6">
        <v>130</v>
      </c>
      <c r="C5" s="7">
        <v>46063</v>
      </c>
      <c r="E5" s="3" t="s">
        <v>12</v>
      </c>
      <c r="F5" s="14">
        <v>130</v>
      </c>
      <c r="G5" s="13">
        <v>46063</v>
      </c>
    </row>
    <row r="6" spans="1:7" x14ac:dyDescent="0.25">
      <c r="A6" s="7">
        <v>46063</v>
      </c>
      <c r="B6" s="6">
        <v>80</v>
      </c>
      <c r="C6" s="7">
        <v>46063</v>
      </c>
      <c r="E6" s="3" t="s">
        <v>5</v>
      </c>
      <c r="F6" s="14">
        <v>80</v>
      </c>
      <c r="G6" s="13">
        <v>46063</v>
      </c>
    </row>
    <row r="7" spans="1:7" x14ac:dyDescent="0.25">
      <c r="A7" s="9">
        <v>46068</v>
      </c>
      <c r="B7" s="8">
        <v>100</v>
      </c>
      <c r="C7" s="9">
        <v>46068</v>
      </c>
      <c r="E7" s="3" t="s">
        <v>6</v>
      </c>
      <c r="F7" s="14">
        <v>100</v>
      </c>
      <c r="G7" s="13">
        <v>46068</v>
      </c>
    </row>
    <row r="9" spans="1:7" x14ac:dyDescent="0.25">
      <c r="A9" s="5"/>
      <c r="E9" t="s">
        <v>8</v>
      </c>
      <c r="F9" s="16">
        <f>SUM(Tabela2[Valor gasto])</f>
        <v>930</v>
      </c>
    </row>
    <row r="10" spans="1:7" x14ac:dyDescent="0.25">
      <c r="E10" t="s">
        <v>7</v>
      </c>
      <c r="F10" s="5">
        <v>2000</v>
      </c>
    </row>
    <row r="11" spans="1:7" x14ac:dyDescent="0.25">
      <c r="E11" t="s">
        <v>13</v>
      </c>
      <c r="F11" s="16">
        <f>F10-F9</f>
        <v>1070</v>
      </c>
    </row>
    <row r="13" spans="1:7" x14ac:dyDescent="0.25">
      <c r="E13" t="s">
        <v>14</v>
      </c>
      <c r="F13" s="16">
        <f>F11/20</f>
        <v>53.5</v>
      </c>
    </row>
    <row r="14" spans="1:7" x14ac:dyDescent="0.25">
      <c r="F14" s="17" t="str">
        <f>IF(F13&gt;=50,"come BK","não pode comer BK")</f>
        <v>come BK</v>
      </c>
    </row>
  </sheetData>
  <mergeCells count="1">
    <mergeCell ref="E1:G1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ead</dc:creator>
  <cp:lastModifiedBy>ead</cp:lastModifiedBy>
  <dcterms:created xsi:type="dcterms:W3CDTF">2026-02-19T14:47:39Z</dcterms:created>
  <dcterms:modified xsi:type="dcterms:W3CDTF">2026-02-19T15:24:44Z</dcterms:modified>
</cp:coreProperties>
</file>